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72282e2d4e89a/Documents/Financial Crime Analyst Portfolio/"/>
    </mc:Choice>
  </mc:AlternateContent>
  <xr:revisionPtr revIDLastSave="224" documentId="8_{526CD2DE-49B0-4742-A340-9560DCFFC9D1}" xr6:coauthVersionLast="47" xr6:coauthVersionMax="47" xr10:uidLastSave="{4617E784-EC01-422C-BB61-8DA5D4E77CC7}"/>
  <workbookProtection workbookAlgorithmName="SHA-512" workbookHashValue="VqAQecdw+XF4+Q4U3Ht8HOavwTBhEmqFFnwQRk0/0fJvxY9cAj5rmd16cNgwhaop6urlBLlbTBU3tYKZBLOZTA==" workbookSaltValue="XP9yXK1+9vIVsf7Y4xc+VQ==" workbookSpinCount="100000" lockStructure="1"/>
  <bookViews>
    <workbookView xWindow="30240" yWindow="1365" windowWidth="17280" windowHeight="9960" xr2:uid="{4C816FB4-F262-4CD0-8971-4BF6A66CDEDA}"/>
  </bookViews>
  <sheets>
    <sheet name="Dashboard" sheetId="1" r:id="rId1"/>
    <sheet name="Risk_Matrices" sheetId="2" r:id="rId2"/>
    <sheet name="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C5" i="1"/>
  <c r="C4" i="1"/>
  <c r="C3" i="1"/>
  <c r="B8" i="1" l="1"/>
</calcChain>
</file>

<file path=xl/sharedStrings.xml><?xml version="1.0" encoding="utf-8"?>
<sst xmlns="http://schemas.openxmlformats.org/spreadsheetml/2006/main" count="44" uniqueCount="33">
  <si>
    <t>Industry Sector</t>
  </si>
  <si>
    <t>Pharmaceutical Wholesaler</t>
  </si>
  <si>
    <t>Country</t>
  </si>
  <si>
    <t>United Kingdom</t>
  </si>
  <si>
    <t>Colombia</t>
  </si>
  <si>
    <t>Client Name</t>
  </si>
  <si>
    <t>Operating Jurisdiction</t>
  </si>
  <si>
    <t>Primary Material Handled</t>
  </si>
  <si>
    <t>PEP Involved (Yes/No)</t>
  </si>
  <si>
    <t>OVERALL RISK RATING</t>
  </si>
  <si>
    <t>Score</t>
  </si>
  <si>
    <t>Germany</t>
  </si>
  <si>
    <t>Iran</t>
  </si>
  <si>
    <t>General Freight Forwarding</t>
  </si>
  <si>
    <t>Independent Lab Equipment Supplier</t>
  </si>
  <si>
    <t>Chemical Product</t>
  </si>
  <si>
    <t>Standard Lab Glassware</t>
  </si>
  <si>
    <t>Paracetamol (Bulk)</t>
  </si>
  <si>
    <t>Acetic Anhydride (Precursor)</t>
  </si>
  <si>
    <t>Ephedrine (Precursor)</t>
  </si>
  <si>
    <t>CDD/KYC RISK ASSESSMENT</t>
  </si>
  <si>
    <t xml:space="preserve">PEP Status </t>
  </si>
  <si>
    <t>YES</t>
  </si>
  <si>
    <t>NO</t>
  </si>
  <si>
    <t>Select</t>
  </si>
  <si>
    <t>Dual-Use Goods &amp; Chemical Precursor KYC Risk Model</t>
  </si>
  <si>
    <t>Project Overview</t>
  </si>
  <si>
    <t>This automated Customer Due Diligence (CDD) risk-scoring engine is designed for commercial banking compliance.</t>
  </si>
  <si>
    <t>It evaluates corporate clients in the pharmaceutical, chemical logistics, and laboratory supply sectors.</t>
  </si>
  <si>
    <t>Methodology</t>
  </si>
  <si>
    <t>1. Automated Risk Ingestion: Uses VLOOKUP matrices to dynamically score clients based on geography, entity type, and products.</t>
  </si>
  <si>
    <t>2. Strict Data Validation: Prevents manual entry errors by forcing analysts to select pre-approved regulatory categories.</t>
  </si>
  <si>
    <t>3. Regulatory Override Logic: Automatically triggers a 'HIGH RISK' escalation if a client handles high-risk UN-scheduled chemical precursors or involves a Politically Exposed Person (PEP).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</si>
</sst>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 wrapText="1"/>
    </xf>
    <xf numFmtId="0" fontId="3" fillId="2" borderId="1" xfId="0" applyFont="1" applyFill="1" applyBorder="1"/>
    <xf numFmtId="0" fontId="4" fillId="2" borderId="1" xfId="0" applyFont="1" applyFill="1" applyBorder="1"/>
    <xf numFmtId="0" fontId="1" fillId="3" borderId="0" xfId="0" applyFont="1" applyFill="1"/>
    <xf numFmtId="0" fontId="0" fillId="3" borderId="0" xfId="0" applyFill="1"/>
    <xf numFmtId="0" fontId="5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E0653-8A9A-4D9B-91D7-D1F851ED59F1}">
  <dimension ref="A1:C8"/>
  <sheetViews>
    <sheetView tabSelected="1" workbookViewId="0">
      <selection activeCell="B5" sqref="B5"/>
    </sheetView>
  </sheetViews>
  <sheetFormatPr defaultRowHeight="14.4" x14ac:dyDescent="0.3"/>
  <cols>
    <col min="1" max="1" width="23.88671875" bestFit="1" customWidth="1"/>
    <col min="2" max="2" width="33" bestFit="1" customWidth="1"/>
    <col min="3" max="3" width="2" hidden="1" customWidth="1"/>
  </cols>
  <sheetData>
    <row r="1" spans="1:3" ht="15" thickBot="1" x14ac:dyDescent="0.35">
      <c r="A1" s="3" t="s">
        <v>20</v>
      </c>
      <c r="B1" s="4"/>
      <c r="C1" s="4"/>
    </row>
    <row r="2" spans="1:3" x14ac:dyDescent="0.3">
      <c r="A2" s="5" t="s">
        <v>5</v>
      </c>
      <c r="B2" s="6"/>
    </row>
    <row r="3" spans="1:3" x14ac:dyDescent="0.3">
      <c r="A3" s="5" t="s">
        <v>6</v>
      </c>
      <c r="B3" s="6" t="s">
        <v>24</v>
      </c>
      <c r="C3">
        <f>IFERROR(VLOOKUP(B3, Risk_Matrices!$A$2:$B$6, 2, FALSE), 0)</f>
        <v>0</v>
      </c>
    </row>
    <row r="4" spans="1:3" x14ac:dyDescent="0.3">
      <c r="A4" s="5" t="s">
        <v>0</v>
      </c>
      <c r="B4" s="6" t="s">
        <v>24</v>
      </c>
      <c r="C4">
        <f>IFERROR(VLOOKUP(B4, Risk_Matrices!$A$11:$B$14, 2, FALSE), 0)</f>
        <v>0</v>
      </c>
    </row>
    <row r="5" spans="1:3" x14ac:dyDescent="0.3">
      <c r="A5" s="5" t="s">
        <v>7</v>
      </c>
      <c r="B5" s="6" t="s">
        <v>24</v>
      </c>
      <c r="C5">
        <f>IFERROR(VLOOKUP(B5, Risk_Matrices!$A$21:$B$25, 2, FALSE), 0)</f>
        <v>0</v>
      </c>
    </row>
    <row r="6" spans="1:3" x14ac:dyDescent="0.3">
      <c r="A6" s="5" t="s">
        <v>8</v>
      </c>
      <c r="B6" s="6" t="s">
        <v>24</v>
      </c>
      <c r="C6">
        <f>IF(B6="Yes", 3, IF(B6="No", 1, IF(B6="Select", 0, 0)))</f>
        <v>0</v>
      </c>
    </row>
    <row r="7" spans="1:3" x14ac:dyDescent="0.3">
      <c r="A7" s="6"/>
      <c r="B7" s="5"/>
    </row>
    <row r="8" spans="1:3" x14ac:dyDescent="0.3">
      <c r="A8" s="5" t="s">
        <v>9</v>
      </c>
      <c r="B8" s="6" t="str">
        <f>IF(OR(C5=3, B6="Yes"), "HIGH RISK", IF(AVERAGE(C3:C4)&gt;=2, "MEDIUM RISK", IF(AVERAGE(C3:C4)&gt;0, "LOW RISK", "PENDING")))</f>
        <v>PENDING</v>
      </c>
    </row>
  </sheetData>
  <conditionalFormatting sqref="B8">
    <cfRule type="cellIs" dxfId="2" priority="1" operator="equal">
      <formula>"LOW RISK"</formula>
    </cfRule>
    <cfRule type="cellIs" dxfId="1" priority="2" operator="equal">
      <formula>"MEDIUM RISK"</formula>
    </cfRule>
    <cfRule type="cellIs" dxfId="0" priority="3" operator="equal">
      <formula>"HIGH RISK"</formula>
    </cfRule>
  </conditionalFormatting>
  <dataValidations count="1">
    <dataValidation type="list" allowBlank="1" showInputMessage="1" showErrorMessage="1" sqref="B6" xr:uid="{8B904807-036D-48F7-BB59-8E18AD51618B}">
      <formula1>"Select,Yes,No"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3759081-6D93-4876-884E-86BEBDA36C21}">
          <x14:formula1>
            <xm:f>Risk_Matrices!$A$2:$A$6</xm:f>
          </x14:formula1>
          <xm:sqref>B3</xm:sqref>
        </x14:dataValidation>
        <x14:dataValidation type="list" allowBlank="1" showInputMessage="1" showErrorMessage="1" xr:uid="{5AE462EB-E293-4C16-A8F4-A8E8CFFD8B1C}">
          <x14:formula1>
            <xm:f>Risk_Matrices!$A$11:$A$14</xm:f>
          </x14:formula1>
          <xm:sqref>B4</xm:sqref>
        </x14:dataValidation>
        <x14:dataValidation type="list" allowBlank="1" showInputMessage="1" showErrorMessage="1" xr:uid="{A4F8BFD5-646F-4E59-A52B-045B8DEDBBC1}">
          <x14:formula1>
            <xm:f>Risk_Matrices!$A$21:$A$25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C375-9E08-4232-8A87-24CD7C00F524}">
  <dimension ref="A1:B33"/>
  <sheetViews>
    <sheetView topLeftCell="A16" workbookViewId="0">
      <selection activeCell="A27" sqref="A27"/>
    </sheetView>
  </sheetViews>
  <sheetFormatPr defaultRowHeight="14.4" x14ac:dyDescent="0.3"/>
  <cols>
    <col min="1" max="1" width="36.5546875" bestFit="1" customWidth="1"/>
    <col min="2" max="2" width="32.44140625" bestFit="1" customWidth="1"/>
  </cols>
  <sheetData>
    <row r="1" spans="1:2" x14ac:dyDescent="0.3">
      <c r="A1" s="1" t="s">
        <v>2</v>
      </c>
      <c r="B1" s="1" t="s">
        <v>10</v>
      </c>
    </row>
    <row r="2" spans="1:2" x14ac:dyDescent="0.3">
      <c r="A2" t="s">
        <v>3</v>
      </c>
      <c r="B2">
        <v>1</v>
      </c>
    </row>
    <row r="3" spans="1:2" x14ac:dyDescent="0.3">
      <c r="A3" t="s">
        <v>11</v>
      </c>
      <c r="B3">
        <v>1</v>
      </c>
    </row>
    <row r="4" spans="1:2" x14ac:dyDescent="0.3">
      <c r="A4" t="s">
        <v>4</v>
      </c>
      <c r="B4" s="2">
        <v>2</v>
      </c>
    </row>
    <row r="5" spans="1:2" x14ac:dyDescent="0.3">
      <c r="A5" t="s">
        <v>12</v>
      </c>
      <c r="B5">
        <v>3</v>
      </c>
    </row>
    <row r="6" spans="1:2" x14ac:dyDescent="0.3">
      <c r="A6" t="s">
        <v>24</v>
      </c>
      <c r="B6">
        <v>0</v>
      </c>
    </row>
    <row r="10" spans="1:2" x14ac:dyDescent="0.3">
      <c r="A10" s="1" t="s">
        <v>0</v>
      </c>
      <c r="B10" s="1" t="s">
        <v>10</v>
      </c>
    </row>
    <row r="11" spans="1:2" x14ac:dyDescent="0.3">
      <c r="A11" t="s">
        <v>1</v>
      </c>
      <c r="B11">
        <v>1</v>
      </c>
    </row>
    <row r="12" spans="1:2" x14ac:dyDescent="0.3">
      <c r="A12" t="s">
        <v>13</v>
      </c>
      <c r="B12">
        <v>2</v>
      </c>
    </row>
    <row r="13" spans="1:2" x14ac:dyDescent="0.3">
      <c r="A13" t="s">
        <v>14</v>
      </c>
      <c r="B13">
        <v>3</v>
      </c>
    </row>
    <row r="14" spans="1:2" x14ac:dyDescent="0.3">
      <c r="A14" t="s">
        <v>24</v>
      </c>
      <c r="B14">
        <v>0</v>
      </c>
    </row>
    <row r="16" spans="1:2" x14ac:dyDescent="0.3">
      <c r="A16" s="1"/>
      <c r="B16" s="1"/>
    </row>
    <row r="20" spans="1:2" x14ac:dyDescent="0.3">
      <c r="A20" s="1" t="s">
        <v>15</v>
      </c>
      <c r="B20" s="1" t="s">
        <v>10</v>
      </c>
    </row>
    <row r="21" spans="1:2" x14ac:dyDescent="0.3">
      <c r="A21" t="s">
        <v>16</v>
      </c>
      <c r="B21">
        <v>1</v>
      </c>
    </row>
    <row r="22" spans="1:2" x14ac:dyDescent="0.3">
      <c r="A22" t="s">
        <v>17</v>
      </c>
      <c r="B22">
        <v>2</v>
      </c>
    </row>
    <row r="23" spans="1:2" x14ac:dyDescent="0.3">
      <c r="A23" t="s">
        <v>18</v>
      </c>
      <c r="B23">
        <v>3</v>
      </c>
    </row>
    <row r="24" spans="1:2" x14ac:dyDescent="0.3">
      <c r="A24" t="s">
        <v>19</v>
      </c>
      <c r="B24">
        <v>3</v>
      </c>
    </row>
    <row r="25" spans="1:2" x14ac:dyDescent="0.3">
      <c r="A25" t="s">
        <v>24</v>
      </c>
      <c r="B25">
        <v>0</v>
      </c>
    </row>
    <row r="30" spans="1:2" x14ac:dyDescent="0.3">
      <c r="A30" s="1" t="s">
        <v>21</v>
      </c>
      <c r="B30" s="1" t="s">
        <v>10</v>
      </c>
    </row>
    <row r="31" spans="1:2" x14ac:dyDescent="0.3">
      <c r="A31" t="s">
        <v>22</v>
      </c>
      <c r="B31">
        <v>3</v>
      </c>
    </row>
    <row r="32" spans="1:2" x14ac:dyDescent="0.3">
      <c r="A32" t="s">
        <v>23</v>
      </c>
      <c r="B32">
        <v>1</v>
      </c>
    </row>
    <row r="33" spans="1:2" x14ac:dyDescent="0.3">
      <c r="A33" t="s">
        <v>24</v>
      </c>
      <c r="B33">
        <v>0</v>
      </c>
    </row>
  </sheetData>
  <sheetProtection algorithmName="SHA-512" hashValue="7HDpdqdzdlomJJ7/1Pg+b5o/sE+BwV9hSYMabh/UD6hFYVvrz0tL8xrc9XoTOLoELsFKMHeQUZ7C8YiTg2gIhg==" saltValue="dBNn9dO9+lR4GhYWWcu1u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82773-9550-4DE4-8BFD-2566351FE1F9}">
  <dimension ref="A1:A10"/>
  <sheetViews>
    <sheetView workbookViewId="0">
      <selection activeCell="A5" sqref="A5"/>
    </sheetView>
  </sheetViews>
  <sheetFormatPr defaultRowHeight="14.4" x14ac:dyDescent="0.3"/>
  <cols>
    <col min="1" max="1" width="48.33203125" bestFit="1" customWidth="1"/>
  </cols>
  <sheetData>
    <row r="1" spans="1:1" ht="18" x14ac:dyDescent="0.35">
      <c r="A1" s="7" t="s">
        <v>25</v>
      </c>
    </row>
    <row r="3" spans="1:1" x14ac:dyDescent="0.3">
      <c r="A3" s="1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7" spans="1:1" x14ac:dyDescent="0.3">
      <c r="A7" s="1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</sheetData>
  <sheetProtection algorithmName="SHA-512" hashValue="4qW2TS9DFqFldEmrJN3LnT/sePg8hpGAt/399Oo7dOUbgUrfP9Tg2oawRyPzfV74b5hPVPoZaJ4dSlMt77UPUw==" saltValue="5oMcYQaQDPyW+QvrWqjak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Risk_Matrices</vt:lpstr>
      <vt:lpstr>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Kirk</dc:creator>
  <cp:lastModifiedBy>Jay Kirk</cp:lastModifiedBy>
  <dcterms:created xsi:type="dcterms:W3CDTF">2026-06-08T20:33:42Z</dcterms:created>
  <dcterms:modified xsi:type="dcterms:W3CDTF">2026-06-21T20:28:41Z</dcterms:modified>
</cp:coreProperties>
</file>